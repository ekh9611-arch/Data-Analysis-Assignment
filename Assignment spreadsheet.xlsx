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summary" sheetId="2" r:id="rId6"/>
    <sheet state="visible" name="Dashboard" sheetId="3" r:id="rId7"/>
  </sheets>
  <definedNames/>
  <calcPr/>
</workbook>
</file>

<file path=xl/sharedStrings.xml><?xml version="1.0" encoding="utf-8"?>
<sst xmlns="http://schemas.openxmlformats.org/spreadsheetml/2006/main" count="82" uniqueCount="39">
  <si>
    <t>OrderID</t>
  </si>
  <si>
    <t>Month</t>
  </si>
  <si>
    <t>City</t>
  </si>
  <si>
    <t>Product</t>
  </si>
  <si>
    <t>Quantity</t>
  </si>
  <si>
    <t>UnitPrice</t>
  </si>
  <si>
    <t xml:space="preserve">       Total</t>
  </si>
  <si>
    <t>C01</t>
  </si>
  <si>
    <t>Jul</t>
  </si>
  <si>
    <t>Lahore</t>
  </si>
  <si>
    <t>Embroidered Shawl</t>
  </si>
  <si>
    <t>C02</t>
  </si>
  <si>
    <t>Multan</t>
  </si>
  <si>
    <t>Blue Pottery Vase</t>
  </si>
  <si>
    <t>C03</t>
  </si>
  <si>
    <t>Karachi</t>
  </si>
  <si>
    <t>Handmade Bag</t>
  </si>
  <si>
    <t>C04</t>
  </si>
  <si>
    <t>Islamabad</t>
  </si>
  <si>
    <t>Khussa</t>
  </si>
  <si>
    <t>C05</t>
  </si>
  <si>
    <t>C06</t>
  </si>
  <si>
    <t>C07</t>
  </si>
  <si>
    <t>Aug</t>
  </si>
  <si>
    <t>C08</t>
  </si>
  <si>
    <t>C09</t>
  </si>
  <si>
    <t>C10</t>
  </si>
  <si>
    <t>C11</t>
  </si>
  <si>
    <t>C12</t>
  </si>
  <si>
    <t>C13</t>
  </si>
  <si>
    <t>Sep</t>
  </si>
  <si>
    <t>C14</t>
  </si>
  <si>
    <t>C15</t>
  </si>
  <si>
    <t>C16</t>
  </si>
  <si>
    <t>C17</t>
  </si>
  <si>
    <t>C18</t>
  </si>
  <si>
    <t>Total sales</t>
  </si>
  <si>
    <t>Total average</t>
  </si>
  <si>
    <t>Totak orders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</si>
</sst>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990000"/>
      <name val="Arial"/>
    </font>
    <font>
      <b/>
      <sz val="11.0"/>
      <color rgb="FF990000"/>
      <name val="&quot;Google Sans&quot;"/>
    </font>
    <font>
      <b/>
      <color rgb="FF990000"/>
      <name val="Arial"/>
      <scheme val="minor"/>
    </font>
    <font>
      <sz val="11.0"/>
      <color theme="1"/>
      <name val="&quot;Google Sans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DCDFE5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0" fillId="0" fontId="5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95250</xdr:rowOff>
    </xdr:from>
    <xdr:ext cx="5715000" cy="3533775"/>
    <xdr:pic>
      <xdr:nvPicPr>
        <xdr:cNvPr id="188994941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4" t="s">
        <v>8</v>
      </c>
      <c r="C2" s="4" t="s">
        <v>9</v>
      </c>
      <c r="D2" s="4" t="s">
        <v>10</v>
      </c>
      <c r="E2" s="4">
        <v>2.0</v>
      </c>
      <c r="F2" s="4">
        <v>3500.0</v>
      </c>
      <c r="G2" s="5">
        <f t="shared" ref="G2:G19" si="1">E2*F2</f>
        <v>7000</v>
      </c>
    </row>
    <row r="3">
      <c r="A3" s="4" t="s">
        <v>11</v>
      </c>
      <c r="B3" s="4" t="s">
        <v>8</v>
      </c>
      <c r="C3" s="4" t="s">
        <v>12</v>
      </c>
      <c r="D3" s="4" t="s">
        <v>13</v>
      </c>
      <c r="E3" s="4">
        <v>1.0</v>
      </c>
      <c r="F3" s="4">
        <v>2200.0</v>
      </c>
      <c r="G3" s="5">
        <f t="shared" si="1"/>
        <v>2200</v>
      </c>
    </row>
    <row r="4">
      <c r="A4" s="4" t="s">
        <v>14</v>
      </c>
      <c r="B4" s="4" t="s">
        <v>8</v>
      </c>
      <c r="C4" s="4" t="s">
        <v>15</v>
      </c>
      <c r="D4" s="4" t="s">
        <v>16</v>
      </c>
      <c r="E4" s="4">
        <v>3.0</v>
      </c>
      <c r="F4" s="4">
        <v>1500.0</v>
      </c>
      <c r="G4" s="5">
        <f t="shared" si="1"/>
        <v>4500</v>
      </c>
    </row>
    <row r="5">
      <c r="A5" s="4" t="s">
        <v>17</v>
      </c>
      <c r="B5" s="4" t="s">
        <v>8</v>
      </c>
      <c r="C5" s="4" t="s">
        <v>18</v>
      </c>
      <c r="D5" s="4" t="s">
        <v>19</v>
      </c>
      <c r="E5" s="4">
        <v>2.0</v>
      </c>
      <c r="F5" s="4">
        <v>1800.0</v>
      </c>
      <c r="G5" s="5">
        <f t="shared" si="1"/>
        <v>3600</v>
      </c>
    </row>
    <row r="6">
      <c r="A6" s="4" t="s">
        <v>20</v>
      </c>
      <c r="B6" s="4" t="s">
        <v>8</v>
      </c>
      <c r="C6" s="4" t="s">
        <v>9</v>
      </c>
      <c r="D6" s="4" t="s">
        <v>16</v>
      </c>
      <c r="E6" s="4">
        <v>1.0</v>
      </c>
      <c r="F6" s="4">
        <v>1500.0</v>
      </c>
      <c r="G6" s="5">
        <f t="shared" si="1"/>
        <v>1500</v>
      </c>
    </row>
    <row r="7">
      <c r="A7" s="4" t="s">
        <v>21</v>
      </c>
      <c r="B7" s="4" t="s">
        <v>8</v>
      </c>
      <c r="C7" s="4" t="s">
        <v>12</v>
      </c>
      <c r="D7" s="4" t="s">
        <v>10</v>
      </c>
      <c r="E7" s="4">
        <v>1.0</v>
      </c>
      <c r="F7" s="4">
        <v>3500.0</v>
      </c>
      <c r="G7" s="5">
        <f t="shared" si="1"/>
        <v>3500</v>
      </c>
    </row>
    <row r="8">
      <c r="A8" s="4" t="s">
        <v>22</v>
      </c>
      <c r="B8" s="4" t="s">
        <v>23</v>
      </c>
      <c r="C8" s="4" t="s">
        <v>9</v>
      </c>
      <c r="D8" s="4" t="s">
        <v>13</v>
      </c>
      <c r="E8" s="4">
        <v>2.0</v>
      </c>
      <c r="F8" s="4">
        <v>2200.0</v>
      </c>
      <c r="G8" s="5">
        <f t="shared" si="1"/>
        <v>4400</v>
      </c>
    </row>
    <row r="9">
      <c r="A9" s="4" t="s">
        <v>24</v>
      </c>
      <c r="B9" s="4" t="s">
        <v>23</v>
      </c>
      <c r="C9" s="4" t="s">
        <v>15</v>
      </c>
      <c r="D9" s="4" t="s">
        <v>10</v>
      </c>
      <c r="E9" s="4">
        <v>3.0</v>
      </c>
      <c r="F9" s="4">
        <v>3500.0</v>
      </c>
      <c r="G9" s="5">
        <f t="shared" si="1"/>
        <v>10500</v>
      </c>
    </row>
    <row r="10">
      <c r="A10" s="4" t="s">
        <v>25</v>
      </c>
      <c r="B10" s="4" t="s">
        <v>23</v>
      </c>
      <c r="C10" s="4" t="s">
        <v>12</v>
      </c>
      <c r="D10" s="4" t="s">
        <v>19</v>
      </c>
      <c r="E10" s="4">
        <v>4.0</v>
      </c>
      <c r="F10" s="4">
        <v>1800.0</v>
      </c>
      <c r="G10" s="5">
        <f t="shared" si="1"/>
        <v>7200</v>
      </c>
    </row>
    <row r="11">
      <c r="A11" s="4" t="s">
        <v>26</v>
      </c>
      <c r="B11" s="4" t="s">
        <v>23</v>
      </c>
      <c r="C11" s="4" t="s">
        <v>18</v>
      </c>
      <c r="D11" s="4" t="s">
        <v>16</v>
      </c>
      <c r="E11" s="4">
        <v>2.0</v>
      </c>
      <c r="F11" s="4">
        <v>1500.0</v>
      </c>
      <c r="G11" s="5">
        <f t="shared" si="1"/>
        <v>3000</v>
      </c>
    </row>
    <row r="12">
      <c r="A12" s="4" t="s">
        <v>27</v>
      </c>
      <c r="B12" s="4" t="s">
        <v>23</v>
      </c>
      <c r="C12" s="4" t="s">
        <v>9</v>
      </c>
      <c r="D12" s="4" t="s">
        <v>19</v>
      </c>
      <c r="E12" s="4">
        <v>1.0</v>
      </c>
      <c r="F12" s="4">
        <v>1800.0</v>
      </c>
      <c r="G12" s="5">
        <f t="shared" si="1"/>
        <v>1800</v>
      </c>
    </row>
    <row r="13">
      <c r="A13" s="4" t="s">
        <v>28</v>
      </c>
      <c r="B13" s="4" t="s">
        <v>23</v>
      </c>
      <c r="C13" s="4" t="s">
        <v>15</v>
      </c>
      <c r="D13" s="4" t="s">
        <v>13</v>
      </c>
      <c r="E13" s="4">
        <v>1.0</v>
      </c>
      <c r="F13" s="4">
        <v>2200.0</v>
      </c>
      <c r="G13" s="5">
        <f t="shared" si="1"/>
        <v>2200</v>
      </c>
    </row>
    <row r="14">
      <c r="A14" s="4" t="s">
        <v>29</v>
      </c>
      <c r="B14" s="4" t="s">
        <v>30</v>
      </c>
      <c r="C14" s="4" t="s">
        <v>12</v>
      </c>
      <c r="D14" s="4" t="s">
        <v>10</v>
      </c>
      <c r="E14" s="4">
        <v>2.0</v>
      </c>
      <c r="F14" s="4">
        <v>3500.0</v>
      </c>
      <c r="G14" s="5">
        <f t="shared" si="1"/>
        <v>7000</v>
      </c>
    </row>
    <row r="15">
      <c r="A15" s="4" t="s">
        <v>31</v>
      </c>
      <c r="B15" s="4" t="s">
        <v>30</v>
      </c>
      <c r="C15" s="4" t="s">
        <v>9</v>
      </c>
      <c r="D15" s="4" t="s">
        <v>16</v>
      </c>
      <c r="E15" s="4">
        <v>4.0</v>
      </c>
      <c r="F15" s="4">
        <v>1500.0</v>
      </c>
      <c r="G15" s="5">
        <f t="shared" si="1"/>
        <v>6000</v>
      </c>
    </row>
    <row r="16">
      <c r="A16" s="4" t="s">
        <v>32</v>
      </c>
      <c r="B16" s="4" t="s">
        <v>30</v>
      </c>
      <c r="C16" s="4" t="s">
        <v>15</v>
      </c>
      <c r="D16" s="4" t="s">
        <v>19</v>
      </c>
      <c r="E16" s="4">
        <v>3.0</v>
      </c>
      <c r="F16" s="4">
        <v>1800.0</v>
      </c>
      <c r="G16" s="5">
        <f t="shared" si="1"/>
        <v>5400</v>
      </c>
    </row>
    <row r="17">
      <c r="A17" s="4" t="s">
        <v>33</v>
      </c>
      <c r="B17" s="4" t="s">
        <v>30</v>
      </c>
      <c r="C17" s="4" t="s">
        <v>18</v>
      </c>
      <c r="D17" s="4" t="s">
        <v>10</v>
      </c>
      <c r="E17" s="4">
        <v>1.0</v>
      </c>
      <c r="F17" s="4">
        <v>3500.0</v>
      </c>
      <c r="G17" s="5">
        <f t="shared" si="1"/>
        <v>3500</v>
      </c>
    </row>
    <row r="18">
      <c r="A18" s="4" t="s">
        <v>34</v>
      </c>
      <c r="B18" s="4" t="s">
        <v>30</v>
      </c>
      <c r="C18" s="4" t="s">
        <v>12</v>
      </c>
      <c r="D18" s="4" t="s">
        <v>16</v>
      </c>
      <c r="E18" s="4">
        <v>2.0</v>
      </c>
      <c r="F18" s="4">
        <v>1500.0</v>
      </c>
      <c r="G18" s="5">
        <f t="shared" si="1"/>
        <v>3000</v>
      </c>
    </row>
    <row r="19">
      <c r="A19" s="6" t="s">
        <v>35</v>
      </c>
      <c r="B19" s="6" t="s">
        <v>30</v>
      </c>
      <c r="C19" s="6" t="s">
        <v>9</v>
      </c>
      <c r="D19" s="6" t="s">
        <v>13</v>
      </c>
      <c r="E19" s="6">
        <v>3.0</v>
      </c>
      <c r="F19" s="6">
        <v>2200.0</v>
      </c>
      <c r="G19" s="5">
        <f t="shared" si="1"/>
        <v>6600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36</v>
      </c>
      <c r="B1" s="7" t="s">
        <v>37</v>
      </c>
      <c r="C1" s="7" t="s">
        <v>38</v>
      </c>
    </row>
    <row r="2">
      <c r="A2" s="5">
        <f>SUM(data!G2:G19)
</f>
        <v>82900</v>
      </c>
      <c r="B2" s="5">
        <f>AVERAGE(data!G2:G19)</f>
        <v>4605.555556</v>
      </c>
      <c r="C2" s="5">
        <f>COUNTA(data!A2:A19)</f>
        <v>18</v>
      </c>
    </row>
    <row r="3">
      <c r="A3" s="5">
        <f>SUM(data!G3:G20)
</f>
        <v>75900</v>
      </c>
      <c r="B3" s="5">
        <f>AVERAGE(data!G3:G20)</f>
        <v>4464.705882</v>
      </c>
      <c r="C3" s="5">
        <f>COUNTA(data!A3:A20)</f>
        <v>17</v>
      </c>
    </row>
    <row r="4">
      <c r="A4" s="5">
        <f>SUM(data!G4:G21)
</f>
        <v>73700</v>
      </c>
      <c r="B4" s="5">
        <f>AVERAGE(data!G4:G21)</f>
        <v>4606.25</v>
      </c>
      <c r="C4" s="5">
        <f>COUNTA(data!A4:A21)</f>
        <v>16</v>
      </c>
    </row>
    <row r="5">
      <c r="A5" s="5">
        <f>SUM(data!G5:G22)
</f>
        <v>69200</v>
      </c>
      <c r="B5" s="5">
        <f>AVERAGE(data!G5:G22)</f>
        <v>4613.333333</v>
      </c>
      <c r="C5" s="5">
        <f>COUNTA(data!A5:A22)</f>
        <v>15</v>
      </c>
    </row>
    <row r="6">
      <c r="A6" s="5">
        <f>SUM(data!G6:G23)
</f>
        <v>65600</v>
      </c>
      <c r="B6" s="5">
        <f>AVERAGE(data!G6:G23)</f>
        <v>4685.714286</v>
      </c>
      <c r="C6" s="5">
        <f>COUNTA(data!A6:A23)</f>
        <v>14</v>
      </c>
    </row>
    <row r="7">
      <c r="A7" s="5">
        <f>SUM(data!G7:G24)
</f>
        <v>64100</v>
      </c>
      <c r="B7" s="5">
        <f>AVERAGE(data!G7:G24)</f>
        <v>4930.769231</v>
      </c>
      <c r="C7" s="5">
        <f>COUNTA(data!A7:A24)</f>
        <v>13</v>
      </c>
    </row>
    <row r="8">
      <c r="A8" s="5">
        <f>SUM(data!G8:G25)
</f>
        <v>60600</v>
      </c>
      <c r="B8" s="5">
        <f>AVERAGE(data!G8:G25)</f>
        <v>5050</v>
      </c>
      <c r="C8" s="5">
        <f>COUNTA(data!A8:A25)</f>
        <v>12</v>
      </c>
    </row>
    <row r="9">
      <c r="A9" s="5">
        <f>SUM(data!G9:G26)
</f>
        <v>56200</v>
      </c>
      <c r="B9" s="5">
        <f>AVERAGE(data!G9:G26)</f>
        <v>5109.090909</v>
      </c>
      <c r="C9" s="5">
        <f>COUNTA(data!A9:A26)</f>
        <v>11</v>
      </c>
    </row>
    <row r="10">
      <c r="A10" s="5">
        <f>SUM(data!G10:G27)
</f>
        <v>45700</v>
      </c>
      <c r="B10" s="5">
        <f>AVERAGE(data!G10:G27)</f>
        <v>4570</v>
      </c>
      <c r="C10" s="5">
        <f>COUNTA(data!A10:A27)</f>
        <v>10</v>
      </c>
    </row>
    <row r="11">
      <c r="A11" s="5">
        <f>SUM(data!G11:G28)
</f>
        <v>38500</v>
      </c>
      <c r="B11" s="5">
        <f>AVERAGE(data!G11:G28)</f>
        <v>4277.777778</v>
      </c>
      <c r="C11" s="5">
        <f>COUNTA(data!A11:A28)</f>
        <v>9</v>
      </c>
    </row>
    <row r="12">
      <c r="A12" s="5">
        <f>SUM(data!G12:G29)
</f>
        <v>35500</v>
      </c>
      <c r="B12" s="5">
        <f>AVERAGE(data!G12:G29)</f>
        <v>4437.5</v>
      </c>
      <c r="C12" s="5">
        <f>COUNTA(data!A12:A29)</f>
        <v>8</v>
      </c>
    </row>
    <row r="13">
      <c r="A13" s="5">
        <f>SUM(data!G13:G30)
</f>
        <v>33700</v>
      </c>
      <c r="B13" s="5">
        <f>AVERAGE(data!G13:G30)</f>
        <v>4814.285714</v>
      </c>
      <c r="C13" s="5">
        <f>COUNTA(data!A13:A30)</f>
        <v>7</v>
      </c>
    </row>
    <row r="14">
      <c r="A14" s="5">
        <f>SUM(data!G14:G31)
</f>
        <v>31500</v>
      </c>
      <c r="B14" s="5">
        <f>AVERAGE(data!G14:G31)</f>
        <v>5250</v>
      </c>
      <c r="C14" s="5">
        <f>COUNTA(data!A14:A31)</f>
        <v>6</v>
      </c>
    </row>
    <row r="15">
      <c r="A15" s="5">
        <f>SUM(data!G15:G32)
</f>
        <v>24500</v>
      </c>
      <c r="B15" s="5">
        <f>AVERAGE(data!G15:G32)</f>
        <v>4900</v>
      </c>
      <c r="C15" s="5">
        <f>COUNTA(data!A15:A32)</f>
        <v>5</v>
      </c>
    </row>
    <row r="16">
      <c r="A16" s="5">
        <f>SUM(data!G16:G33)
</f>
        <v>18500</v>
      </c>
      <c r="B16" s="5">
        <f>AVERAGE(data!G16:G33)</f>
        <v>4625</v>
      </c>
      <c r="C16" s="5">
        <f>COUNTA(data!A16:A33)</f>
        <v>4</v>
      </c>
    </row>
    <row r="17">
      <c r="A17" s="5">
        <f>SUM(data!G17:G34)
</f>
        <v>13100</v>
      </c>
      <c r="B17" s="5">
        <f>AVERAGE(data!G17:G34)</f>
        <v>4366.666667</v>
      </c>
      <c r="C17" s="5">
        <f>COUNTA(data!A17:A34)</f>
        <v>3</v>
      </c>
    </row>
    <row r="18">
      <c r="A18" s="5">
        <f>SUM(data!G18:G35)
</f>
        <v>9600</v>
      </c>
      <c r="B18" s="5">
        <f>AVERAGE(data!G18:G35)</f>
        <v>4800</v>
      </c>
      <c r="C18" s="5">
        <f>COUNTA(data!A18:A35)</f>
        <v>2</v>
      </c>
    </row>
    <row r="19">
      <c r="A19" s="5">
        <f>SUM(data!G19:G36)
</f>
        <v>6600</v>
      </c>
      <c r="B19" s="5">
        <f>AVERAGE(data!G19:G36)</f>
        <v>6600</v>
      </c>
      <c r="C19" s="5">
        <f>COUNTA(data!A19:A36)</f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